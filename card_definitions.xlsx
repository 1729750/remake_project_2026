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iko\remake_project\remake project\"/>
    </mc:Choice>
  </mc:AlternateContent>
  <xr:revisionPtr revIDLastSave="0" documentId="13_ncr:1_{65A6D518-B5A1-4A4F-846C-0786C126FCA6}" xr6:coauthVersionLast="47" xr6:coauthVersionMax="47" xr10:uidLastSave="{00000000-0000-0000-0000-000000000000}"/>
  <bookViews>
    <workbookView xWindow="1170" yWindow="1170" windowWidth="38700" windowHeight="18780" xr2:uid="{00000000-000D-0000-FFFF-FFFF00000000}"/>
  </bookViews>
  <sheets>
    <sheet name="Cards" sheetId="1" r:id="rId1"/>
    <sheet name="Prices" sheetId="2" r:id="rId2"/>
  </sheets>
  <definedNames>
    <definedName name="Prices">Prices!$A:$B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" l="1"/>
  <c r="H32" i="1"/>
  <c r="H36" i="1"/>
  <c r="H35" i="1"/>
  <c r="H34" i="1"/>
  <c r="H33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<sst xmlns="http://schemas.openxmlformats.org/spreadsheetml/2006/main" count="117" uniqueCount="78">
  <si>
    <t>이름</t>
  </si>
  <si>
    <t>EffectType1</t>
  </si>
  <si>
    <t>Magnitude1</t>
  </si>
  <si>
    <t>EffectType2</t>
  </si>
  <si>
    <t>Magnitude2</t>
  </si>
  <si>
    <t>EffectType3</t>
  </si>
  <si>
    <t>Magnitude3</t>
  </si>
  <si>
    <t>계산된 cost</t>
  </si>
  <si>
    <t>cost</t>
  </si>
  <si>
    <t>cooldown</t>
  </si>
  <si>
    <t>card_definitions.txt (Assets/cards)</t>
  </si>
  <si>
    <t>attack</t>
  </si>
  <si>
    <t>Attack</t>
  </si>
  <si>
    <t>attack-big</t>
  </si>
  <si>
    <t>attack-medium</t>
  </si>
  <si>
    <t>attack-up</t>
  </si>
  <si>
    <t>Strength</t>
  </si>
  <si>
    <t>attack-down</t>
  </si>
  <si>
    <t>defense</t>
  </si>
  <si>
    <t>Defend</t>
  </si>
  <si>
    <t>defense-medium</t>
  </si>
  <si>
    <t>defense-up</t>
  </si>
  <si>
    <t>Harden</t>
  </si>
  <si>
    <t>defense-down</t>
  </si>
  <si>
    <t>defense-buff</t>
  </si>
  <si>
    <t>CostGet</t>
  </si>
  <si>
    <t>EnergyHeal</t>
  </si>
  <si>
    <t>card_definitions.txt (Assets/card_claude)</t>
  </si>
  <si>
    <t>flicker-blade</t>
  </si>
  <si>
    <t>aegis-plate</t>
  </si>
  <si>
    <t>adrenal-surge</t>
  </si>
  <si>
    <t>bastion-core</t>
  </si>
  <si>
    <t>rift-fang</t>
  </si>
  <si>
    <t>Vulnerable</t>
  </si>
  <si>
    <t>sunder-pose</t>
  </si>
  <si>
    <t>PoseBreak</t>
  </si>
  <si>
    <t>second-wind</t>
  </si>
  <si>
    <t>junk-overflow</t>
  </si>
  <si>
    <t>AddDump</t>
  </si>
  <si>
    <t>slow-burn</t>
  </si>
  <si>
    <t>Burning</t>
  </si>
  <si>
    <t>overclock-core</t>
  </si>
  <si>
    <t>DivideCooldown</t>
  </si>
  <si>
    <t>bloodwardens-toll</t>
  </si>
  <si>
    <t>DefenseToCooldown</t>
  </si>
  <si>
    <t>temporal-snare</t>
  </si>
  <si>
    <t>TimeSkip</t>
  </si>
  <si>
    <t>guarded-riposte</t>
  </si>
  <si>
    <t>iron-resolve</t>
  </si>
  <si>
    <t>weakpoint-strike</t>
  </si>
  <si>
    <t>overheal-core</t>
  </si>
  <si>
    <t>corrosive-spores</t>
  </si>
  <si>
    <t>blight-bomb</t>
  </si>
  <si>
    <t>chrono-fracture</t>
  </si>
  <si>
    <t>EffectType</t>
  </si>
  <si>
    <t>Price</t>
  </si>
  <si>
    <t>Weak</t>
  </si>
  <si>
    <t>Guard</t>
  </si>
  <si>
    <t>CostToCooldown</t>
  </si>
  <si>
    <t>CooldownToCost</t>
  </si>
  <si>
    <t>Preserve</t>
  </si>
  <si>
    <t>Disposable</t>
  </si>
  <si>
    <t>Harden</t>
    <phoneticPr fontId="2" type="noConversion"/>
  </si>
  <si>
    <t>Strength</t>
    <phoneticPr fontId="2" type="noConversion"/>
  </si>
  <si>
    <t>Vulnerable</t>
    <phoneticPr fontId="2" type="noConversion"/>
  </si>
  <si>
    <t>AddDump</t>
    <phoneticPr fontId="2" type="noConversion"/>
  </si>
  <si>
    <t>Attack</t>
    <phoneticPr fontId="2" type="noConversion"/>
  </si>
  <si>
    <t>PoseBreak</t>
    <phoneticPr fontId="2" type="noConversion"/>
  </si>
  <si>
    <t>Quicker</t>
    <phoneticPr fontId="2" type="noConversion"/>
  </si>
  <si>
    <t>EnergyDrain</t>
  </si>
  <si>
    <t>Sap</t>
    <phoneticPr fontId="2" type="noConversion"/>
  </si>
  <si>
    <t>EnergyHeal</t>
    <phoneticPr fontId="2" type="noConversion"/>
  </si>
  <si>
    <t>EnergyDrain</t>
    <phoneticPr fontId="2" type="noConversion"/>
  </si>
  <si>
    <t>GreatWall</t>
    <phoneticPr fontId="2" type="noConversion"/>
  </si>
  <si>
    <t>Defend</t>
    <phoneticPr fontId="2" type="noConversion"/>
  </si>
  <si>
    <t>DrainShield</t>
    <phoneticPr fontId="2" type="noConversion"/>
  </si>
  <si>
    <t>Weak</t>
    <phoneticPr fontId="2" type="noConversion"/>
  </si>
  <si>
    <t>neutralize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</si>
</sst>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pane ySplit="1" topLeftCell="A2" activePane="bottomLeft" state="frozen"/>
      <selection pane="bottomLeft" activeCell="B35" sqref="B35"/>
    </sheetView>
  </sheetViews>
  <sheetFormatPr defaultRowHeight="15" x14ac:dyDescent="0.25"/>
  <cols>
    <col min="1" max="1" width="20" customWidth="1"/>
    <col min="2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</row>
    <row r="3" spans="1:10" x14ac:dyDescent="0.25">
      <c r="A3" t="s">
        <v>11</v>
      </c>
      <c r="B3" t="s">
        <v>12</v>
      </c>
      <c r="C3">
        <v>10</v>
      </c>
      <c r="H3">
        <f t="shared" ref="H3:H13" si="0">IFERROR(VLOOKUP(B3,Prices,2,0)*ABS(C3),0)+IFERROR(VLOOKUP(D3,Prices,2,0)*ABS(E3),0)+IFERROR(VLOOKUP(F3,Prices,2,0)*ABS(G3),0)</f>
        <v>1</v>
      </c>
      <c r="I3">
        <v>2</v>
      </c>
      <c r="J3">
        <v>3</v>
      </c>
    </row>
    <row r="4" spans="1:10" x14ac:dyDescent="0.25">
      <c r="A4" t="s">
        <v>13</v>
      </c>
      <c r="B4" t="s">
        <v>12</v>
      </c>
      <c r="C4">
        <v>40</v>
      </c>
      <c r="H4">
        <f t="shared" si="0"/>
        <v>4</v>
      </c>
      <c r="I4">
        <v>8</v>
      </c>
      <c r="J4">
        <v>7</v>
      </c>
    </row>
    <row r="5" spans="1:10" x14ac:dyDescent="0.25">
      <c r="A5" t="s">
        <v>14</v>
      </c>
      <c r="B5" t="s">
        <v>12</v>
      </c>
      <c r="C5">
        <v>20</v>
      </c>
      <c r="H5">
        <f t="shared" si="0"/>
        <v>2</v>
      </c>
      <c r="I5">
        <v>6</v>
      </c>
      <c r="J5">
        <v>3</v>
      </c>
    </row>
    <row r="6" spans="1:10" x14ac:dyDescent="0.25">
      <c r="A6" t="s">
        <v>15</v>
      </c>
      <c r="B6" t="s">
        <v>16</v>
      </c>
      <c r="C6">
        <v>3</v>
      </c>
      <c r="H6">
        <f t="shared" si="0"/>
        <v>3</v>
      </c>
      <c r="I6">
        <v>5</v>
      </c>
      <c r="J6">
        <v>4</v>
      </c>
    </row>
    <row r="7" spans="1:10" x14ac:dyDescent="0.25">
      <c r="A7" t="s">
        <v>17</v>
      </c>
      <c r="B7" t="s">
        <v>16</v>
      </c>
      <c r="C7">
        <v>-3</v>
      </c>
      <c r="H7">
        <f t="shared" si="0"/>
        <v>3</v>
      </c>
      <c r="I7">
        <v>5</v>
      </c>
      <c r="J7">
        <v>4</v>
      </c>
    </row>
    <row r="8" spans="1:10" x14ac:dyDescent="0.25">
      <c r="A8" t="s">
        <v>18</v>
      </c>
      <c r="B8" t="s">
        <v>19</v>
      </c>
      <c r="C8">
        <v>15</v>
      </c>
      <c r="H8">
        <f t="shared" si="0"/>
        <v>3</v>
      </c>
      <c r="I8">
        <v>3</v>
      </c>
      <c r="J8">
        <v>4</v>
      </c>
    </row>
    <row r="9" spans="1:10" x14ac:dyDescent="0.25">
      <c r="A9" t="s">
        <v>20</v>
      </c>
      <c r="B9" t="s">
        <v>19</v>
      </c>
      <c r="C9">
        <v>25</v>
      </c>
      <c r="H9">
        <f t="shared" si="0"/>
        <v>5</v>
      </c>
      <c r="I9">
        <v>5</v>
      </c>
      <c r="J9">
        <v>7</v>
      </c>
    </row>
    <row r="10" spans="1:10" x14ac:dyDescent="0.25">
      <c r="A10" t="s">
        <v>21</v>
      </c>
      <c r="B10" t="s">
        <v>22</v>
      </c>
      <c r="C10">
        <v>5</v>
      </c>
      <c r="H10">
        <f t="shared" si="0"/>
        <v>7.5</v>
      </c>
      <c r="I10">
        <v>5</v>
      </c>
      <c r="J10">
        <v>3</v>
      </c>
    </row>
    <row r="11" spans="1:10" x14ac:dyDescent="0.25">
      <c r="A11" t="s">
        <v>23</v>
      </c>
      <c r="B11" t="s">
        <v>22</v>
      </c>
      <c r="C11">
        <v>-5</v>
      </c>
      <c r="H11">
        <f t="shared" si="0"/>
        <v>7.5</v>
      </c>
      <c r="I11">
        <v>1</v>
      </c>
      <c r="J11">
        <v>5</v>
      </c>
    </row>
    <row r="12" spans="1:10" x14ac:dyDescent="0.25">
      <c r="A12" t="s">
        <v>24</v>
      </c>
      <c r="B12" t="s">
        <v>16</v>
      </c>
      <c r="C12">
        <v>3</v>
      </c>
      <c r="D12" t="s">
        <v>19</v>
      </c>
      <c r="E12">
        <v>10</v>
      </c>
      <c r="H12">
        <f t="shared" si="0"/>
        <v>5</v>
      </c>
      <c r="I12">
        <v>6</v>
      </c>
      <c r="J12">
        <v>3</v>
      </c>
    </row>
    <row r="13" spans="1:10" x14ac:dyDescent="0.25">
      <c r="A13" t="s">
        <v>25</v>
      </c>
      <c r="B13" t="s">
        <v>26</v>
      </c>
      <c r="C13">
        <v>6</v>
      </c>
      <c r="H13">
        <f t="shared" si="0"/>
        <v>6</v>
      </c>
      <c r="I13">
        <v>3</v>
      </c>
      <c r="J13">
        <v>3</v>
      </c>
    </row>
    <row r="14" spans="1:10" x14ac:dyDescent="0.25">
      <c r="A14" s="1" t="s">
        <v>27</v>
      </c>
    </row>
    <row r="15" spans="1:10" x14ac:dyDescent="0.25">
      <c r="A15" t="s">
        <v>28</v>
      </c>
      <c r="B15" t="s">
        <v>12</v>
      </c>
      <c r="C15">
        <v>5</v>
      </c>
      <c r="D15" s="2" t="s">
        <v>63</v>
      </c>
      <c r="E15">
        <v>5</v>
      </c>
      <c r="H15">
        <f t="shared" ref="H15:H37" si="1">IFERROR(VLOOKUP(B15,Prices,2,0)*ABS(C15),0)+IFERROR(VLOOKUP(D15,Prices,2,0)*ABS(E15),0)+IFERROR(VLOOKUP(F15,Prices,2,0)*ABS(G15),0)</f>
        <v>5.5</v>
      </c>
      <c r="I15">
        <v>5</v>
      </c>
      <c r="J15">
        <v>3</v>
      </c>
    </row>
    <row r="16" spans="1:10" x14ac:dyDescent="0.25">
      <c r="A16" t="s">
        <v>29</v>
      </c>
      <c r="B16" t="s">
        <v>19</v>
      </c>
      <c r="C16">
        <v>5</v>
      </c>
      <c r="D16" s="2" t="s">
        <v>62</v>
      </c>
      <c r="E16">
        <v>3</v>
      </c>
      <c r="H16">
        <f t="shared" si="1"/>
        <v>5.5</v>
      </c>
      <c r="I16">
        <v>6</v>
      </c>
      <c r="J16">
        <v>3</v>
      </c>
    </row>
    <row r="17" spans="1:10" x14ac:dyDescent="0.25">
      <c r="A17" t="s">
        <v>30</v>
      </c>
      <c r="B17" t="s">
        <v>16</v>
      </c>
      <c r="C17">
        <v>10</v>
      </c>
      <c r="D17" s="2" t="s">
        <v>62</v>
      </c>
      <c r="E17">
        <v>-5</v>
      </c>
      <c r="F17" s="2" t="s">
        <v>64</v>
      </c>
      <c r="G17">
        <v>1</v>
      </c>
      <c r="H17">
        <f t="shared" si="1"/>
        <v>18.5</v>
      </c>
      <c r="I17">
        <v>4</v>
      </c>
      <c r="J17">
        <v>10</v>
      </c>
    </row>
    <row r="18" spans="1:10" x14ac:dyDescent="0.25">
      <c r="A18" t="s">
        <v>31</v>
      </c>
      <c r="B18" t="s">
        <v>22</v>
      </c>
      <c r="C18">
        <v>5</v>
      </c>
      <c r="H18">
        <f t="shared" si="1"/>
        <v>7.5</v>
      </c>
      <c r="I18">
        <v>3</v>
      </c>
      <c r="J18">
        <v>1</v>
      </c>
    </row>
    <row r="19" spans="1:10" x14ac:dyDescent="0.25">
      <c r="A19" t="s">
        <v>32</v>
      </c>
      <c r="B19" s="2" t="s">
        <v>63</v>
      </c>
      <c r="C19">
        <v>2</v>
      </c>
      <c r="D19" t="s">
        <v>33</v>
      </c>
      <c r="E19">
        <v>2</v>
      </c>
      <c r="H19">
        <f t="shared" si="1"/>
        <v>4</v>
      </c>
      <c r="I19">
        <v>1</v>
      </c>
      <c r="J19">
        <v>3</v>
      </c>
    </row>
    <row r="20" spans="1:10" x14ac:dyDescent="0.25">
      <c r="A20" t="s">
        <v>34</v>
      </c>
      <c r="B20" t="s">
        <v>35</v>
      </c>
      <c r="C20">
        <v>1</v>
      </c>
      <c r="H20">
        <f t="shared" si="1"/>
        <v>6</v>
      </c>
      <c r="I20">
        <v>0</v>
      </c>
      <c r="J20">
        <v>3</v>
      </c>
    </row>
    <row r="21" spans="1:10" x14ac:dyDescent="0.25">
      <c r="A21" t="s">
        <v>36</v>
      </c>
      <c r="B21" t="s">
        <v>26</v>
      </c>
      <c r="C21">
        <v>10</v>
      </c>
      <c r="H21">
        <f t="shared" si="1"/>
        <v>10</v>
      </c>
      <c r="I21">
        <v>0</v>
      </c>
      <c r="J21">
        <v>5</v>
      </c>
    </row>
    <row r="22" spans="1:10" x14ac:dyDescent="0.25">
      <c r="A22" t="s">
        <v>37</v>
      </c>
      <c r="B22" t="s">
        <v>38</v>
      </c>
      <c r="C22">
        <v>2</v>
      </c>
      <c r="D22" s="2" t="s">
        <v>65</v>
      </c>
      <c r="E22">
        <v>2</v>
      </c>
      <c r="F22" s="2"/>
      <c r="H22">
        <f t="shared" si="1"/>
        <v>14</v>
      </c>
      <c r="I22">
        <v>7</v>
      </c>
      <c r="J22">
        <v>5</v>
      </c>
    </row>
    <row r="23" spans="1:10" x14ac:dyDescent="0.25">
      <c r="A23" t="s">
        <v>39</v>
      </c>
      <c r="B23" t="s">
        <v>40</v>
      </c>
      <c r="C23">
        <v>5</v>
      </c>
      <c r="H23">
        <f t="shared" si="1"/>
        <v>2</v>
      </c>
      <c r="I23">
        <v>0</v>
      </c>
      <c r="J23">
        <v>1</v>
      </c>
    </row>
    <row r="24" spans="1:10" x14ac:dyDescent="0.25">
      <c r="A24" t="s">
        <v>41</v>
      </c>
      <c r="B24" t="s">
        <v>42</v>
      </c>
      <c r="C24">
        <v>1</v>
      </c>
      <c r="H24">
        <f t="shared" si="1"/>
        <v>15</v>
      </c>
      <c r="I24">
        <v>14</v>
      </c>
      <c r="J24">
        <v>1</v>
      </c>
    </row>
    <row r="25" spans="1:10" x14ac:dyDescent="0.25">
      <c r="A25" t="s">
        <v>43</v>
      </c>
      <c r="B25" t="s">
        <v>44</v>
      </c>
      <c r="C25">
        <v>1</v>
      </c>
      <c r="D25" s="2" t="s">
        <v>66</v>
      </c>
      <c r="E25">
        <v>60</v>
      </c>
      <c r="H25">
        <f t="shared" si="1"/>
        <v>16</v>
      </c>
      <c r="I25">
        <v>4</v>
      </c>
      <c r="J25">
        <v>50</v>
      </c>
    </row>
    <row r="26" spans="1:10" x14ac:dyDescent="0.25">
      <c r="A26" t="s">
        <v>45</v>
      </c>
      <c r="B26" t="s">
        <v>46</v>
      </c>
      <c r="C26">
        <v>6</v>
      </c>
      <c r="H26">
        <f t="shared" si="1"/>
        <v>24</v>
      </c>
      <c r="I26">
        <v>15</v>
      </c>
      <c r="J26">
        <v>3</v>
      </c>
    </row>
    <row r="27" spans="1:10" x14ac:dyDescent="0.25">
      <c r="A27" s="2" t="s">
        <v>70</v>
      </c>
      <c r="B27" s="2" t="s">
        <v>71</v>
      </c>
      <c r="C27">
        <v>5</v>
      </c>
      <c r="D27" s="2" t="s">
        <v>72</v>
      </c>
      <c r="E27">
        <v>5</v>
      </c>
      <c r="H27">
        <f t="shared" si="1"/>
        <v>13</v>
      </c>
      <c r="I27">
        <v>5</v>
      </c>
      <c r="J27">
        <v>4</v>
      </c>
    </row>
    <row r="28" spans="1:10" x14ac:dyDescent="0.25">
      <c r="A28" t="s">
        <v>47</v>
      </c>
      <c r="B28" t="s">
        <v>19</v>
      </c>
      <c r="C28">
        <v>10</v>
      </c>
      <c r="D28" s="2" t="s">
        <v>66</v>
      </c>
      <c r="E28">
        <v>10</v>
      </c>
      <c r="H28">
        <f t="shared" si="1"/>
        <v>3</v>
      </c>
      <c r="I28">
        <v>5</v>
      </c>
      <c r="J28">
        <v>5</v>
      </c>
    </row>
    <row r="29" spans="1:10" x14ac:dyDescent="0.25">
      <c r="A29" t="s">
        <v>48</v>
      </c>
      <c r="B29" t="s">
        <v>22</v>
      </c>
      <c r="C29">
        <v>1</v>
      </c>
      <c r="D29" t="s">
        <v>16</v>
      </c>
      <c r="E29">
        <v>1</v>
      </c>
      <c r="H29">
        <f t="shared" si="1"/>
        <v>2.5</v>
      </c>
      <c r="I29">
        <v>2</v>
      </c>
      <c r="J29">
        <v>1</v>
      </c>
    </row>
    <row r="30" spans="1:10" x14ac:dyDescent="0.25">
      <c r="A30" t="s">
        <v>49</v>
      </c>
      <c r="B30" t="s">
        <v>12</v>
      </c>
      <c r="C30">
        <v>10</v>
      </c>
      <c r="D30" t="s">
        <v>35</v>
      </c>
      <c r="E30">
        <v>2</v>
      </c>
      <c r="H30">
        <f t="shared" si="1"/>
        <v>13</v>
      </c>
      <c r="I30">
        <v>7</v>
      </c>
      <c r="J30">
        <v>2</v>
      </c>
    </row>
    <row r="31" spans="1:10" x14ac:dyDescent="0.25">
      <c r="A31" t="s">
        <v>50</v>
      </c>
      <c r="B31" t="s">
        <v>26</v>
      </c>
      <c r="C31">
        <v>10</v>
      </c>
      <c r="D31" s="2" t="s">
        <v>67</v>
      </c>
      <c r="E31">
        <v>3</v>
      </c>
      <c r="H31">
        <f t="shared" si="1"/>
        <v>28</v>
      </c>
      <c r="I31">
        <v>0</v>
      </c>
      <c r="J31">
        <v>3</v>
      </c>
    </row>
    <row r="32" spans="1:10" x14ac:dyDescent="0.25">
      <c r="A32" t="s">
        <v>51</v>
      </c>
      <c r="B32" t="s">
        <v>40</v>
      </c>
      <c r="C32">
        <v>20</v>
      </c>
      <c r="H32">
        <f>IFERROR(VLOOKUP(B32,Prices,2,0)*ABS(C32),0)+IFERROR(VLOOKUP(D32,Prices,2,0)*ABS(E32),0)+IFERROR(VLOOKUP(F32,Prices,2,0)*ABS(G32),0)</f>
        <v>8</v>
      </c>
      <c r="I32">
        <v>5</v>
      </c>
      <c r="J32">
        <v>4</v>
      </c>
    </row>
    <row r="33" spans="1:10" x14ac:dyDescent="0.25">
      <c r="A33" t="s">
        <v>52</v>
      </c>
      <c r="B33" t="s">
        <v>38</v>
      </c>
      <c r="C33">
        <v>6</v>
      </c>
      <c r="H33">
        <f t="shared" si="1"/>
        <v>21</v>
      </c>
      <c r="I33">
        <v>2</v>
      </c>
      <c r="J33">
        <v>3</v>
      </c>
    </row>
    <row r="34" spans="1:10" x14ac:dyDescent="0.25">
      <c r="A34" s="2" t="s">
        <v>73</v>
      </c>
      <c r="B34" s="2" t="s">
        <v>74</v>
      </c>
      <c r="C34">
        <v>50</v>
      </c>
      <c r="H34">
        <f t="shared" si="1"/>
        <v>10</v>
      </c>
      <c r="I34">
        <v>10</v>
      </c>
      <c r="J34">
        <v>20</v>
      </c>
    </row>
    <row r="35" spans="1:10" x14ac:dyDescent="0.25">
      <c r="A35" t="s">
        <v>53</v>
      </c>
      <c r="B35" t="s">
        <v>42</v>
      </c>
      <c r="C35">
        <v>1</v>
      </c>
      <c r="D35" s="2" t="s">
        <v>68</v>
      </c>
      <c r="E35">
        <v>10</v>
      </c>
      <c r="H35">
        <f t="shared" si="1"/>
        <v>40</v>
      </c>
      <c r="I35">
        <v>20</v>
      </c>
      <c r="J35">
        <v>1</v>
      </c>
    </row>
    <row r="36" spans="1:10" x14ac:dyDescent="0.25">
      <c r="A36" s="2" t="s">
        <v>75</v>
      </c>
      <c r="B36" s="2" t="s">
        <v>72</v>
      </c>
      <c r="C36">
        <v>6</v>
      </c>
      <c r="D36" s="2" t="s">
        <v>76</v>
      </c>
      <c r="E36">
        <v>2</v>
      </c>
      <c r="H36">
        <f t="shared" si="1"/>
        <v>12.600000000000001</v>
      </c>
      <c r="I36">
        <v>6</v>
      </c>
      <c r="J36">
        <v>5</v>
      </c>
    </row>
    <row r="37" spans="1:10" x14ac:dyDescent="0.25">
      <c r="A37" s="2" t="s">
        <v>77</v>
      </c>
      <c r="B37" s="2" t="s">
        <v>76</v>
      </c>
      <c r="C37">
        <v>3</v>
      </c>
      <c r="H37">
        <f t="shared" si="1"/>
        <v>4.5</v>
      </c>
      <c r="I37">
        <v>5</v>
      </c>
      <c r="J37">
        <v>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B4" sqref="B4"/>
    </sheetView>
  </sheetViews>
  <sheetFormatPr defaultRowHeight="15" x14ac:dyDescent="0.25"/>
  <cols>
    <col min="1" max="1" width="20" customWidth="1"/>
    <col min="2" max="2" width="10" customWidth="1"/>
  </cols>
  <sheetData>
    <row r="1" spans="1:2" x14ac:dyDescent="0.25">
      <c r="A1" s="1" t="s">
        <v>54</v>
      </c>
      <c r="B1" s="1" t="s">
        <v>55</v>
      </c>
    </row>
    <row r="2" spans="1:2" x14ac:dyDescent="0.25">
      <c r="A2" t="s">
        <v>12</v>
      </c>
      <c r="B2">
        <v>0.1</v>
      </c>
    </row>
    <row r="3" spans="1:2" x14ac:dyDescent="0.25">
      <c r="A3" t="s">
        <v>19</v>
      </c>
      <c r="B3">
        <v>0.2</v>
      </c>
    </row>
    <row r="4" spans="1:2" x14ac:dyDescent="0.25">
      <c r="A4" t="s">
        <v>56</v>
      </c>
      <c r="B4">
        <v>1.5</v>
      </c>
    </row>
    <row r="5" spans="1:2" x14ac:dyDescent="0.25">
      <c r="A5" t="s">
        <v>33</v>
      </c>
      <c r="B5">
        <v>1</v>
      </c>
    </row>
    <row r="6" spans="1:2" x14ac:dyDescent="0.25">
      <c r="A6" t="s">
        <v>16</v>
      </c>
      <c r="B6">
        <v>1</v>
      </c>
    </row>
    <row r="7" spans="1:2" x14ac:dyDescent="0.25">
      <c r="A7" t="s">
        <v>22</v>
      </c>
      <c r="B7">
        <v>1.5</v>
      </c>
    </row>
    <row r="8" spans="1:2" x14ac:dyDescent="0.25">
      <c r="A8" t="s">
        <v>57</v>
      </c>
      <c r="B8">
        <v>0</v>
      </c>
    </row>
    <row r="9" spans="1:2" x14ac:dyDescent="0.25">
      <c r="A9" t="s">
        <v>35</v>
      </c>
      <c r="B9">
        <v>6</v>
      </c>
    </row>
    <row r="10" spans="1:2" x14ac:dyDescent="0.25">
      <c r="A10" t="s">
        <v>26</v>
      </c>
      <c r="B10">
        <v>1</v>
      </c>
    </row>
    <row r="11" spans="1:2" x14ac:dyDescent="0.25">
      <c r="A11" t="s">
        <v>38</v>
      </c>
      <c r="B11">
        <v>3.5</v>
      </c>
    </row>
    <row r="12" spans="1:2" x14ac:dyDescent="0.25">
      <c r="A12" t="s">
        <v>40</v>
      </c>
      <c r="B12">
        <v>0.4</v>
      </c>
    </row>
    <row r="13" spans="1:2" x14ac:dyDescent="0.25">
      <c r="A13" t="s">
        <v>58</v>
      </c>
      <c r="B13">
        <v>11</v>
      </c>
    </row>
    <row r="14" spans="1:2" x14ac:dyDescent="0.25">
      <c r="A14" t="s">
        <v>59</v>
      </c>
      <c r="B14">
        <v>11</v>
      </c>
    </row>
    <row r="15" spans="1:2" x14ac:dyDescent="0.25">
      <c r="A15" t="s">
        <v>42</v>
      </c>
      <c r="B15">
        <v>15</v>
      </c>
    </row>
    <row r="16" spans="1:2" x14ac:dyDescent="0.25">
      <c r="A16" t="s">
        <v>46</v>
      </c>
      <c r="B16">
        <v>4</v>
      </c>
    </row>
    <row r="17" spans="1:2" x14ac:dyDescent="0.25">
      <c r="A17" t="s">
        <v>60</v>
      </c>
      <c r="B17">
        <v>0</v>
      </c>
    </row>
    <row r="18" spans="1:2" x14ac:dyDescent="0.25">
      <c r="A18" t="s">
        <v>61</v>
      </c>
      <c r="B18">
        <v>0</v>
      </c>
    </row>
    <row r="19" spans="1:2" x14ac:dyDescent="0.25">
      <c r="A19" t="s">
        <v>44</v>
      </c>
      <c r="B19">
        <v>10</v>
      </c>
    </row>
    <row r="20" spans="1:2" x14ac:dyDescent="0.25">
      <c r="A20" s="2" t="s">
        <v>68</v>
      </c>
      <c r="B20">
        <v>2.5</v>
      </c>
    </row>
    <row r="21" spans="1:2" x14ac:dyDescent="0.25">
      <c r="A21" t="s">
        <v>69</v>
      </c>
      <c r="B21">
        <v>1.6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Cards</vt:lpstr>
      <vt:lpstr>Prices</vt:lpstr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Jiho Ryu</cp:lastModifiedBy>
  <dcterms:modified xsi:type="dcterms:W3CDTF">2026-09-20T03:38:57Z</dcterms:modified>
</cp:coreProperties>
</file>